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myisepipp-my.sharepoint.com/personal/icp_isep_ipp_pt/Documents/Documentos/Direção MEI/PreparaçãoParaDissertação(PastaProvisória)/2024-2025/Avaliação/"/>
    </mc:Choice>
  </mc:AlternateContent>
  <xr:revisionPtr revIDLastSave="15" documentId="8_{3CE1BAEB-DE4E-452B-90D1-F32CA689E693}" xr6:coauthVersionLast="47" xr6:coauthVersionMax="47" xr10:uidLastSave="{95EEFF71-F96B-41BF-B005-3BAD91B1DB09}"/>
  <bookViews>
    <workbookView minimized="1" xWindow="4875" yWindow="2085" windowWidth="21600" windowHeight="11235" xr2:uid="{F25609D7-41FF-3641-B6C5-251E0CD576DE}"/>
  </bookViews>
  <sheets>
    <sheet name="Evaluation" sheetId="1" r:id="rId1"/>
    <sheet name="Notes (doc evaluation)" sheetId="7" r:id="rId2"/>
    <sheet name="Notes (presentation evaluation)" sheetId="6" r:id="rId3"/>
    <sheet name="Data"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 l="1"/>
  <c r="D25" i="1"/>
  <c r="F14" i="1"/>
  <c r="D14" i="1"/>
  <c r="H6" i="1"/>
  <c r="I6" i="1" s="1"/>
  <c r="C25" i="1"/>
  <c r="C14" i="1"/>
  <c r="H24" i="1"/>
  <c r="I24" i="1" s="1"/>
  <c r="H23" i="1"/>
  <c r="I23" i="1" s="1"/>
  <c r="H22" i="1"/>
  <c r="I22" i="1" s="1"/>
  <c r="H21" i="1"/>
  <c r="I21" i="1" s="1"/>
  <c r="H20" i="1"/>
  <c r="I20" i="1" s="1"/>
  <c r="H13" i="1"/>
  <c r="I13" i="1" s="1"/>
  <c r="H12" i="1"/>
  <c r="I12" i="1" s="1"/>
  <c r="H11" i="1"/>
  <c r="I11" i="1" s="1"/>
  <c r="H10" i="1"/>
  <c r="I10" i="1" s="1"/>
  <c r="H9" i="1"/>
  <c r="I9" i="1" s="1"/>
  <c r="H8" i="1"/>
  <c r="I8" i="1" s="1"/>
  <c r="H7" i="1"/>
  <c r="I7" i="1" s="1"/>
  <c r="J11" i="3"/>
  <c r="H25" i="1" l="1"/>
  <c r="I25" i="1" s="1"/>
  <c r="D26" i="1"/>
  <c r="H14" i="1"/>
  <c r="I14" i="1" s="1"/>
  <c r="D15" i="1"/>
  <c r="F29" i="1" l="1"/>
</calcChain>
</file>

<file path=xl/sharedStrings.xml><?xml version="1.0" encoding="utf-8"?>
<sst xmlns="http://schemas.openxmlformats.org/spreadsheetml/2006/main" count="146" uniqueCount="103">
  <si>
    <t>Nr. Estudante:</t>
  </si>
  <si>
    <t>?</t>
  </si>
  <si>
    <t>Nome:</t>
  </si>
  <si>
    <t xml:space="preserve">Document </t>
  </si>
  <si>
    <t>Item</t>
  </si>
  <si>
    <t>Advisor
(see notes)</t>
  </si>
  <si>
    <t>Obs                    (not mandatory)</t>
  </si>
  <si>
    <t>Examiner
(see notes)</t>
  </si>
  <si>
    <t>Diference</t>
  </si>
  <si>
    <t>Alert</t>
  </si>
  <si>
    <t>Background and context for the project being conducted, as well as its rationale,</t>
  </si>
  <si>
    <t>0-Not provided</t>
  </si>
  <si>
    <t>Analytical, critical, and ethical interpretation of the problem to solve</t>
  </si>
  <si>
    <t>Clear, well defined and feasible objective(s), research process, method(s) and question(s),</t>
  </si>
  <si>
    <t>State-of-the-art review
-- includes the most recent developments, technologies, trends, and challenges in the specific fields related to the project
--It must describe how it was conducted: the methods applied and how</t>
  </si>
  <si>
    <t>Ethical considerations in research design, data collection, analysis, and reporting, with recognition of potential conflicts of interest and compliance with Ethical Boards and approval of ethics committees, whenever required</t>
  </si>
  <si>
    <t>Document structure
--main chapters and section‹
--an abstract, 
--a list of bibliographic references
--a table of contents
-- lists of abbreviations, images and tables</t>
  </si>
  <si>
    <t>Technical/scientific accuracy of the content with appropriate references</t>
  </si>
  <si>
    <t>Document grade [0-20]</t>
  </si>
  <si>
    <t>Document grade average [0-20]</t>
  </si>
  <si>
    <t>Presentation and discussion</t>
  </si>
  <si>
    <t>Advisor</t>
  </si>
  <si>
    <t>Examiner</t>
  </si>
  <si>
    <t>Quality of the visual materials</t>
  </si>
  <si>
    <t>Clarity and engagement of the oral presentation</t>
  </si>
  <si>
    <t>Technical/scientific accuracy</t>
  </si>
  <si>
    <t>Conciseness</t>
  </si>
  <si>
    <t>Self-assurance and ability at arguing during the presentation</t>
  </si>
  <si>
    <t>Presentation and discussion grade [0-20]</t>
  </si>
  <si>
    <t>Presentation and discussion grade average [0-20]</t>
  </si>
  <si>
    <t>Project2 Final grade:</t>
  </si>
  <si>
    <t>1-Poor</t>
  </si>
  <si>
    <t>2-Mediocre</t>
  </si>
  <si>
    <t>3-Fair</t>
  </si>
  <si>
    <t>4-Good</t>
  </si>
  <si>
    <t>5-Very Good</t>
  </si>
  <si>
    <t>Schedule of activities planned to complete the project</t>
  </si>
  <si>
    <t>Document</t>
  </si>
  <si>
    <t>Some Questions to Consider</t>
  </si>
  <si>
    <t>Background and context for the project being conducted, as well as its rationale</t>
  </si>
  <si>
    <t>--What caused the problem to arise? Are the causes recent, or have they become more acute recently?</t>
  </si>
  <si>
    <t>--Are there restrictions or limitations in financial, human, technological resources or others that will impact how the problem will be addressed? Are they recognised by the community or by the stakeholders?</t>
  </si>
  <si>
    <t>--Are stakeholders and their interests considered?</t>
  </si>
  <si>
    <t>--Is there a clear description of the problem?</t>
  </si>
  <si>
    <t>--Are possible societal impacts from attempts to resolve the problem considered?</t>
  </si>
  <si>
    <t>--Are the consequences of not solving the problem explained? Are mentioned the expected contributions from resolving the problem?</t>
  </si>
  <si>
    <t>--Are there any concerns about legal and social responsibilities evident?</t>
  </si>
  <si>
    <t>--Is the problem analyzed from multiple perspectives, exploring potential inconsistencies or preconceived ideas in the available information?</t>
  </si>
  <si>
    <t>--Are scientifically documented pieces of evidence of the problem or related statistics from credible sources mentioned?</t>
  </si>
  <si>
    <t>--Did the student analyze some potential implications of attempts to resolve the problem?</t>
  </si>
  <si>
    <t>Clear, well defined, and feasible objective(s), research process, method(s) and question(s)</t>
  </si>
  <si>
    <t>--Are objectives clear and specific?</t>
  </si>
  <si>
    <t>--Are objectives closely aligned with the research questions or problem statement?</t>
  </si>
  <si>
    <t>--Do objectives address a gap in the existing knowledge or contribute to a relevant issue?</t>
  </si>
  <si>
    <t>--Does the research methodology support the achievement of the objectives? Are the research methods well-suited to address research questions and objectives?</t>
  </si>
  <si>
    <t>--Are objectives realistic and attainable within the existing time and resource constraints? Are limitations or boundaries associated with objectives identified?</t>
  </si>
  <si>
    <t>--Are steps taken to minimize bias, errors, and other sources of invalidity described?</t>
  </si>
  <si>
    <t>--Is it clear how the research questions relate to existing literature, address gaps, or extend previous research?</t>
  </si>
  <si>
    <t>State-of-the-art review</t>
  </si>
  <si>
    <t>--Is a literature review method identified and followed?</t>
  </si>
  <si>
    <t>-- includes the most recent developments, technologies, trends, and challenges in the specific fields related to the project</t>
  </si>
  <si>
    <t>--Is the maturity of sources considered? If grey literature is used, is its importance for the work justified?</t>
  </si>
  <si>
    <t>--It must describe how it was conducted: the methods applied and how</t>
  </si>
  <si>
    <t>--Is there any critical analysis about what is presented? For instance, are similarities or differences between ideas/procedures/approaches highlighted?</t>
  </si>
  <si>
    <t>--Are the skills to be worked on for successful project completion recognised?</t>
  </si>
  <si>
    <t>--Does the planning include tasks associated with selected skills?</t>
  </si>
  <si>
    <t>--Are the elements on the project charter correctly considered in the project planning, such as stakeholders’ management process, Objectives, Research Question(s), assumptions, restrictions?</t>
  </si>
  <si>
    <t>--Is scope correctly assessed with a level of detail based on deliverables and distributed among lifecycle (phases) aligned with the research method chosen?</t>
  </si>
  <si>
    <t>--Is the project schedule correctly realized, taking into consideration dates and duration estimates, main milestones highlighted and task dependency correctly integrated?</t>
  </si>
  <si>
    <t>--In the case applicable, is cost estimated and incorporated in the project plan?</t>
  </si>
  <si>
    <t>--Are monitor and control procedures detailed and reflected the needs of the project?</t>
  </si>
  <si>
    <t>--Are risks identified, analyzed and managed?</t>
  </si>
  <si>
    <t>Document structure</t>
  </si>
  <si>
    <t>--main chapters and sections</t>
  </si>
  <si>
    <t>--Does the document organization promote its readability?</t>
  </si>
  <si>
    <t>--an abstract,</t>
  </si>
  <si>
    <t>--Does the transition between sections and chapters promote a sense of flow?</t>
  </si>
  <si>
    <t>--a list of bibliographic references</t>
  </si>
  <si>
    <t>--Are references used relevant? For example, are bibliographic sources identified and mentioned in the list of bibliographic references, including those for the images used?</t>
  </si>
  <si>
    <t>--a table of contents</t>
  </si>
  <si>
    <t>--Do all parts have a connection with problem and objectives?</t>
  </si>
  <si>
    <t>-- lists of abbreviations, images and tables</t>
  </si>
  <si>
    <t>Technical, scientific, writing accuracy of the content with consistency and appropriate references</t>
  </si>
  <si>
    <t>--Is the content aligned with the theme and title?</t>
  </si>
  <si>
    <t>--Are there writing errors?</t>
  </si>
  <si>
    <t>--Are there sentences long (e.g., more than 30 words)?</t>
  </si>
  <si>
    <t>--Are there technical/scientific errors (see also questions related to "technical/scientific accuracy")?</t>
  </si>
  <si>
    <t>--Is there a consistency in formatting, font size, spacing, citation style, and margins? See also questions related to "quality of the visual materials".</t>
  </si>
  <si>
    <t>--Is the compliance with any Ethical Board mentioned (two are indicated at Moodle, but others may be more appropriate)?</t>
  </si>
  <si>
    <t>--Are permissions or approvals from relevant authorities, institutions, or organizations needed before conducting research in certain settings or with specific populations? If yes, were they obtained?</t>
  </si>
  <si>
    <t>--Are research participants fully informed about the research, their rights, and potential risks and benefits?</t>
  </si>
  <si>
    <t>--Are the privacy and confidentiality of participants safeguarded?</t>
  </si>
  <si>
    <r>
      <t xml:space="preserve">--Are there deficiencies in current practices </t>
    </r>
    <r>
      <rPr>
        <sz val="9"/>
        <color theme="1"/>
        <rFont val="Segoe UI"/>
        <family val="2"/>
      </rPr>
      <t xml:space="preserve">or in the existing solutions of a given organization </t>
    </r>
    <r>
      <rPr>
        <sz val="9"/>
        <color rgb="FF000000"/>
        <rFont val="Calibri"/>
        <family val="2"/>
      </rPr>
      <t>that justify the work? Do sources (including business background), studies or data support them?</t>
    </r>
  </si>
  <si>
    <t>Presentation and Discussion</t>
  </si>
  <si>
    <t>--Are the image contents noticeable? If the visual elements contain text, are they readable without zooming them in/on?</t>
  </si>
  <si>
    <t>--Is the presentation document paginated?</t>
  </si>
  <si>
    <t>--Was the student speaking naturally, facing the camera/audience?</t>
  </si>
  <si>
    <t>--Was the speech clear and at a good pace?</t>
  </si>
  <si>
    <t>--Was jargon used?</t>
  </si>
  <si>
    <t>--Are technical terms used with proper explanations?</t>
  </si>
  <si>
    <t>Conciseness and coverage</t>
  </si>
  <si>
    <t>--Was the presentation completed within the allocated time without compromising the summary of the key aspects of the work developed so far?</t>
  </si>
  <si>
    <t>--Does the student provide clear and objective answers to the questions made by the evaluation committee?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</si>
</sst>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1"/>
      <color theme="1"/>
      <name val="Calibri"/>
      <family val="2"/>
      <scheme val="minor"/>
    </font>
    <font>
      <b/>
      <sz val="12"/>
      <color theme="1"/>
      <name val="Calibri"/>
      <family val="2"/>
      <scheme val="minor"/>
    </font>
    <font>
      <sz val="12"/>
      <color theme="0"/>
      <name val="Calibri"/>
      <family val="2"/>
      <scheme val="minor"/>
    </font>
    <font>
      <sz val="12"/>
      <name val="Calibri"/>
      <family val="2"/>
      <scheme val="minor"/>
    </font>
    <font>
      <b/>
      <sz val="12"/>
      <name val="Calibri"/>
      <family val="2"/>
      <scheme val="minor"/>
    </font>
    <font>
      <b/>
      <sz val="12"/>
      <color rgb="FF000000"/>
      <name val="Calibri"/>
      <family val="2"/>
    </font>
    <font>
      <b/>
      <sz val="11"/>
      <color rgb="FF000000"/>
      <name val="Calibri"/>
      <family val="2"/>
    </font>
    <font>
      <b/>
      <sz val="9"/>
      <color rgb="FF000000"/>
      <name val="Calibri"/>
      <family val="2"/>
    </font>
    <font>
      <sz val="9"/>
      <color rgb="FF000000"/>
      <name val="Calibri"/>
      <family val="2"/>
    </font>
    <font>
      <sz val="9"/>
      <color theme="1"/>
      <name val="Segoe UI"/>
      <family val="2"/>
    </font>
    <font>
      <b/>
      <sz val="12"/>
      <color rgb="FF000000"/>
      <name val="Calibri"/>
      <family val="2"/>
      <scheme val="minor"/>
    </font>
    <font>
      <b/>
      <sz val="9"/>
      <color rgb="FF000000"/>
      <name val="Calibri"/>
      <family val="2"/>
      <scheme val="minor"/>
    </font>
    <font>
      <b/>
      <sz val="11"/>
      <color rgb="FF000000"/>
      <name val="Calibri"/>
      <family val="2"/>
      <scheme val="minor"/>
    </font>
    <font>
      <sz val="9"/>
      <color rgb="FF00000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D9D9D9"/>
        <bgColor indexed="64"/>
      </patternFill>
    </fill>
  </fills>
  <borders count="31">
    <border>
      <left/>
      <right/>
      <top/>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s>
  <cellStyleXfs count="2">
    <xf numFmtId="0" fontId="0" fillId="0" borderId="0"/>
    <xf numFmtId="0" fontId="1" fillId="0" borderId="0"/>
  </cellStyleXfs>
  <cellXfs count="93">
    <xf numFmtId="0" fontId="0" fillId="0" borderId="0" xfId="0"/>
    <xf numFmtId="0" fontId="2" fillId="0" borderId="0" xfId="0" applyFont="1" applyAlignment="1">
      <alignment wrapText="1"/>
    </xf>
    <xf numFmtId="0" fontId="0" fillId="0" borderId="0" xfId="0" applyAlignment="1">
      <alignment horizontal="center"/>
    </xf>
    <xf numFmtId="0" fontId="2" fillId="0" borderId="0" xfId="0" applyFont="1" applyAlignment="1">
      <alignment horizontal="right"/>
    </xf>
    <xf numFmtId="0" fontId="3" fillId="0" borderId="6" xfId="0" applyFont="1" applyBorder="1" applyAlignment="1">
      <alignment wrapText="1"/>
    </xf>
    <xf numFmtId="0" fontId="3" fillId="0" borderId="8" xfId="0" applyFont="1" applyBorder="1" applyAlignment="1">
      <alignment wrapText="1"/>
    </xf>
    <xf numFmtId="0" fontId="0" fillId="4" borderId="11" xfId="0" applyFill="1" applyBorder="1" applyAlignment="1">
      <alignment wrapText="1"/>
    </xf>
    <xf numFmtId="0" fontId="0" fillId="4" borderId="13" xfId="0" applyFill="1" applyBorder="1" applyAlignment="1">
      <alignment wrapText="1"/>
    </xf>
    <xf numFmtId="0" fontId="3" fillId="0" borderId="14" xfId="0" applyFont="1" applyBorder="1" applyAlignment="1">
      <alignment wrapText="1"/>
    </xf>
    <xf numFmtId="0" fontId="2" fillId="2" borderId="16" xfId="0" applyFont="1" applyFill="1" applyBorder="1" applyAlignment="1">
      <alignment wrapText="1"/>
    </xf>
    <xf numFmtId="0" fontId="2" fillId="3" borderId="1"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19" xfId="0" applyFont="1" applyFill="1" applyBorder="1" applyAlignment="1">
      <alignment horizontal="center"/>
    </xf>
    <xf numFmtId="0" fontId="2" fillId="2" borderId="17" xfId="0" applyFont="1" applyFill="1" applyBorder="1" applyAlignment="1">
      <alignment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3" fillId="0" borderId="6" xfId="0" applyFont="1" applyBorder="1"/>
    <xf numFmtId="0" fontId="3" fillId="0" borderId="8" xfId="0" applyFont="1" applyBorder="1"/>
    <xf numFmtId="0" fontId="3" fillId="0" borderId="14" xfId="0" applyFont="1" applyBorder="1"/>
    <xf numFmtId="0" fontId="0" fillId="4" borderId="23" xfId="0" applyFill="1" applyBorder="1" applyAlignment="1">
      <alignment wrapText="1"/>
    </xf>
    <xf numFmtId="0" fontId="2" fillId="3" borderId="24" xfId="0" applyFont="1" applyFill="1" applyBorder="1" applyAlignment="1">
      <alignment horizontal="center" vertical="center"/>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0" fillId="2" borderId="17" xfId="0" applyFill="1" applyBorder="1"/>
    <xf numFmtId="0" fontId="0" fillId="4" borderId="23" xfId="0" applyFill="1" applyBorder="1"/>
    <xf numFmtId="0" fontId="0" fillId="4" borderId="11" xfId="0" applyFill="1" applyBorder="1"/>
    <xf numFmtId="0" fontId="0" fillId="4" borderId="13" xfId="0" applyFill="1" applyBorder="1"/>
    <xf numFmtId="0" fontId="2" fillId="3" borderId="6"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17" xfId="0" applyFont="1" applyFill="1" applyBorder="1" applyAlignment="1">
      <alignment horizontal="center" vertical="center"/>
    </xf>
    <xf numFmtId="0" fontId="5" fillId="4" borderId="25" xfId="0" applyFont="1" applyFill="1" applyBorder="1" applyAlignment="1">
      <alignment horizontal="left" vertical="center"/>
    </xf>
    <xf numFmtId="0" fontId="2" fillId="4" borderId="12" xfId="0" applyFont="1" applyFill="1" applyBorder="1" applyAlignment="1">
      <alignment horizontal="left" vertical="center"/>
    </xf>
    <xf numFmtId="0" fontId="2" fillId="4" borderId="15" xfId="0" applyFont="1" applyFill="1" applyBorder="1" applyAlignment="1">
      <alignment horizontal="left" vertical="center"/>
    </xf>
    <xf numFmtId="0" fontId="2" fillId="4" borderId="18" xfId="0" applyFont="1" applyFill="1" applyBorder="1" applyAlignment="1">
      <alignment horizontal="left" vertical="center"/>
    </xf>
    <xf numFmtId="0" fontId="5" fillId="4" borderId="22" xfId="0" applyFont="1" applyFill="1" applyBorder="1" applyAlignment="1">
      <alignment horizontal="left" vertical="center"/>
    </xf>
    <xf numFmtId="0" fontId="5" fillId="4" borderId="18" xfId="0" applyFont="1" applyFill="1" applyBorder="1" applyAlignment="1">
      <alignment horizontal="left" vertical="center"/>
    </xf>
    <xf numFmtId="0" fontId="4" fillId="2" borderId="17" xfId="0" applyFont="1" applyFill="1" applyBorder="1" applyAlignment="1">
      <alignment wrapText="1"/>
    </xf>
    <xf numFmtId="0" fontId="2" fillId="3" borderId="4" xfId="0" applyFont="1" applyFill="1" applyBorder="1" applyAlignment="1">
      <alignment horizontal="center"/>
    </xf>
    <xf numFmtId="0" fontId="2" fillId="2" borderId="3" xfId="0" applyFont="1" applyFill="1" applyBorder="1" applyAlignment="1">
      <alignment wrapText="1"/>
    </xf>
    <xf numFmtId="0" fontId="2" fillId="2" borderId="5" xfId="0" applyFont="1" applyFill="1" applyBorder="1" applyAlignment="1">
      <alignment wrapText="1"/>
    </xf>
    <xf numFmtId="0" fontId="0" fillId="5" borderId="2" xfId="0" applyFill="1" applyBorder="1" applyAlignment="1" applyProtection="1">
      <alignment horizontal="center"/>
      <protection locked="0"/>
    </xf>
    <xf numFmtId="0" fontId="0" fillId="5" borderId="8" xfId="0" applyFill="1" applyBorder="1" applyAlignment="1" applyProtection="1">
      <alignment horizontal="center" vertical="center"/>
      <protection locked="0"/>
    </xf>
    <xf numFmtId="0" fontId="0" fillId="5" borderId="8" xfId="0" applyFill="1" applyBorder="1" applyProtection="1">
      <protection locked="0"/>
    </xf>
    <xf numFmtId="0" fontId="0" fillId="5" borderId="6" xfId="0" applyFill="1" applyBorder="1" applyAlignment="1" applyProtection="1">
      <alignment horizontal="center" vertical="center"/>
      <protection locked="0"/>
    </xf>
    <xf numFmtId="0" fontId="0" fillId="5" borderId="6" xfId="0" applyFill="1" applyBorder="1" applyProtection="1">
      <protection locked="0"/>
    </xf>
    <xf numFmtId="0" fontId="0" fillId="5" borderId="14" xfId="0" applyFill="1" applyBorder="1" applyProtection="1">
      <protection locked="0"/>
    </xf>
    <xf numFmtId="0" fontId="1" fillId="0" borderId="0" xfId="1"/>
    <xf numFmtId="0" fontId="9" fillId="0" borderId="27" xfId="1" applyFont="1" applyBorder="1" applyAlignment="1">
      <alignment vertical="center" wrapText="1"/>
    </xf>
    <xf numFmtId="0" fontId="9" fillId="0" borderId="29" xfId="1" applyFont="1" applyBorder="1" applyAlignment="1">
      <alignment vertical="center" wrapText="1"/>
    </xf>
    <xf numFmtId="0" fontId="8" fillId="0" borderId="30" xfId="1" applyFont="1" applyBorder="1" applyAlignment="1">
      <alignment vertical="center" wrapText="1"/>
    </xf>
    <xf numFmtId="0" fontId="1" fillId="0" borderId="27" xfId="1" applyBorder="1" applyAlignment="1">
      <alignment wrapText="1"/>
    </xf>
    <xf numFmtId="0" fontId="9" fillId="0" borderId="26" xfId="1" applyFont="1" applyBorder="1" applyAlignment="1">
      <alignment vertical="center" wrapText="1"/>
    </xf>
    <xf numFmtId="0" fontId="9" fillId="0" borderId="30" xfId="1" applyFont="1" applyBorder="1" applyAlignment="1">
      <alignment vertical="center" wrapText="1"/>
    </xf>
    <xf numFmtId="0" fontId="7" fillId="6" borderId="27" xfId="1" applyFont="1" applyFill="1" applyBorder="1" applyAlignment="1">
      <alignment horizontal="center" vertical="center" wrapText="1"/>
    </xf>
    <xf numFmtId="0" fontId="7" fillId="6" borderId="26" xfId="1" applyFont="1" applyFill="1" applyBorder="1" applyAlignment="1">
      <alignment horizontal="center" vertical="center" wrapText="1"/>
    </xf>
    <xf numFmtId="0" fontId="9" fillId="0" borderId="10" xfId="1" applyFont="1" applyBorder="1" applyAlignment="1">
      <alignment vertical="center" wrapText="1"/>
    </xf>
    <xf numFmtId="0" fontId="13" fillId="6" borderId="26" xfId="0" applyFont="1" applyFill="1" applyBorder="1" applyAlignment="1">
      <alignment horizontal="center" vertical="center" wrapText="1"/>
    </xf>
    <xf numFmtId="0" fontId="13" fillId="6" borderId="27" xfId="0" applyFont="1" applyFill="1" applyBorder="1" applyAlignment="1">
      <alignment horizontal="center" vertical="center" wrapText="1"/>
    </xf>
    <xf numFmtId="0" fontId="14" fillId="0" borderId="29" xfId="0" applyFont="1" applyBorder="1" applyAlignment="1">
      <alignment vertical="center" wrapText="1"/>
    </xf>
    <xf numFmtId="0" fontId="14" fillId="0" borderId="27" xfId="0" applyFont="1" applyBorder="1" applyAlignment="1">
      <alignment vertical="center" wrapText="1"/>
    </xf>
    <xf numFmtId="0" fontId="14" fillId="0" borderId="29" xfId="0" applyFont="1" applyBorder="1" applyAlignment="1">
      <alignment vertical="center"/>
    </xf>
    <xf numFmtId="0" fontId="14" fillId="0" borderId="27" xfId="0" applyFont="1" applyBorder="1" applyAlignment="1">
      <alignment vertical="center"/>
    </xf>
    <xf numFmtId="0" fontId="0" fillId="5" borderId="3" xfId="0" applyFill="1" applyBorder="1" applyAlignment="1" applyProtection="1">
      <alignment horizontal="center"/>
      <protection locked="0"/>
    </xf>
    <xf numFmtId="0" fontId="0" fillId="5" borderId="4" xfId="0" applyFill="1" applyBorder="1" applyAlignment="1" applyProtection="1">
      <alignment horizontal="center"/>
      <protection locked="0"/>
    </xf>
    <xf numFmtId="0" fontId="2" fillId="2" borderId="19" xfId="0" applyFont="1" applyFill="1" applyBorder="1" applyAlignment="1">
      <alignment horizontal="center"/>
    </xf>
    <xf numFmtId="0" fontId="2" fillId="2" borderId="20" xfId="0" applyFont="1" applyFill="1" applyBorder="1" applyAlignment="1">
      <alignment horizontal="center"/>
    </xf>
    <xf numFmtId="0" fontId="2" fillId="2" borderId="7"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3" borderId="19" xfId="0" applyFont="1" applyFill="1" applyBorder="1" applyAlignment="1">
      <alignment horizontal="center"/>
    </xf>
    <xf numFmtId="0" fontId="2" fillId="3" borderId="5" xfId="0" applyFont="1" applyFill="1" applyBorder="1" applyAlignment="1">
      <alignment horizontal="center"/>
    </xf>
    <xf numFmtId="0" fontId="2" fillId="3" borderId="4" xfId="0" applyFont="1" applyFill="1" applyBorder="1" applyAlignment="1">
      <alignment horizontal="center"/>
    </xf>
    <xf numFmtId="0" fontId="2" fillId="2" borderId="16" xfId="0" applyFont="1" applyFill="1" applyBorder="1" applyAlignment="1">
      <alignment horizontal="right"/>
    </xf>
    <xf numFmtId="0" fontId="2" fillId="2" borderId="18" xfId="0" applyFont="1" applyFill="1" applyBorder="1" applyAlignment="1">
      <alignment horizontal="right"/>
    </xf>
    <xf numFmtId="0" fontId="2" fillId="2" borderId="7" xfId="0" applyFont="1" applyFill="1" applyBorder="1" applyAlignment="1">
      <alignment horizontal="center" wrapText="1"/>
    </xf>
    <xf numFmtId="0" fontId="2" fillId="2" borderId="9" xfId="0" applyFont="1" applyFill="1" applyBorder="1" applyAlignment="1">
      <alignment horizontal="center" wrapText="1"/>
    </xf>
    <xf numFmtId="0" fontId="2" fillId="2" borderId="10" xfId="0" applyFont="1" applyFill="1" applyBorder="1" applyAlignment="1">
      <alignment horizontal="center" wrapText="1"/>
    </xf>
    <xf numFmtId="0" fontId="2" fillId="2" borderId="17" xfId="0" applyFont="1" applyFill="1" applyBorder="1" applyAlignment="1">
      <alignment horizontal="center"/>
    </xf>
    <xf numFmtId="0" fontId="8" fillId="0" borderId="28" xfId="1" applyFont="1" applyBorder="1" applyAlignment="1">
      <alignment vertical="center" wrapText="1"/>
    </xf>
    <xf numFmtId="0" fontId="8" fillId="0" borderId="30" xfId="1" applyFont="1" applyBorder="1" applyAlignment="1">
      <alignment vertical="center" wrapText="1"/>
    </xf>
    <xf numFmtId="0" fontId="8" fillId="0" borderId="26" xfId="1" applyFont="1" applyBorder="1" applyAlignment="1">
      <alignment vertical="center" wrapText="1"/>
    </xf>
    <xf numFmtId="0" fontId="8" fillId="0" borderId="30" xfId="1" applyFont="1" applyBorder="1" applyAlignment="1">
      <alignment horizontal="left" vertical="center" wrapText="1"/>
    </xf>
    <xf numFmtId="0" fontId="8" fillId="0" borderId="26" xfId="1" applyFont="1" applyBorder="1" applyAlignment="1">
      <alignment horizontal="left" vertical="center" wrapText="1"/>
    </xf>
    <xf numFmtId="0" fontId="6" fillId="6" borderId="3" xfId="1" applyFont="1" applyFill="1" applyBorder="1" applyAlignment="1">
      <alignment horizontal="center" vertical="center" wrapText="1"/>
    </xf>
    <xf numFmtId="0" fontId="6" fillId="6" borderId="4" xfId="1" applyFont="1" applyFill="1" applyBorder="1" applyAlignment="1">
      <alignment horizontal="center" vertical="center" wrapText="1"/>
    </xf>
    <xf numFmtId="0" fontId="12" fillId="0" borderId="28" xfId="0" applyFont="1" applyBorder="1" applyAlignment="1">
      <alignment vertical="center"/>
    </xf>
    <xf numFmtId="0" fontId="12" fillId="0" borderId="26" xfId="0" applyFont="1" applyBorder="1" applyAlignment="1">
      <alignment vertical="center"/>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0" borderId="30" xfId="0" applyFont="1" applyBorder="1" applyAlignment="1">
      <alignment vertical="center"/>
    </xf>
  </cellXfs>
  <cellStyles count="2">
    <cellStyle name="Normal" xfId="0" builtinId="0"/>
    <cellStyle name="Normal 2" xfId="1" xr:uid="{71DD3D06-56E1-49B4-B6FF-1D7185396775}"/>
  </cellStyles>
  <dxfs count="8">
    <dxf>
      <font>
        <color auto="1"/>
      </font>
      <fill>
        <patternFill>
          <bgColor rgb="FFFF0000"/>
        </patternFill>
      </fill>
    </dxf>
    <dxf>
      <font>
        <color auto="1"/>
      </font>
      <fill>
        <patternFill>
          <bgColor rgb="FFFFFF00"/>
        </patternFill>
      </fill>
    </dxf>
    <dxf>
      <fill>
        <patternFill>
          <bgColor rgb="FFFF0000"/>
        </patternFill>
      </fill>
    </dxf>
    <dxf>
      <font>
        <color auto="1"/>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FFCC"/>
      <color rgb="FFFFFF00"/>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EAA9-391A-194D-946C-3990F8500562}">
  <dimension ref="B1:I29"/>
  <sheetViews>
    <sheetView tabSelected="1" zoomScale="110" zoomScaleNormal="110" workbookViewId="0">
      <selection activeCell="D6" sqref="D6"/>
    </sheetView>
  </sheetViews>
  <sheetFormatPr defaultColWidth="11" defaultRowHeight="15.75" x14ac:dyDescent="0.25"/>
  <cols>
    <col min="1" max="1" width="5.125" customWidth="1"/>
    <col min="2" max="2" width="62" customWidth="1"/>
    <col min="3" max="3" width="18.875" hidden="1" customWidth="1"/>
    <col min="4" max="4" width="13.625" bestFit="1" customWidth="1"/>
    <col min="5" max="5" width="15.625" customWidth="1"/>
    <col min="6" max="6" width="13.625" bestFit="1" customWidth="1"/>
    <col min="7" max="7" width="15.625" customWidth="1"/>
    <col min="9" max="9" width="20.625" bestFit="1" customWidth="1"/>
  </cols>
  <sheetData>
    <row r="1" spans="2:9" ht="16.5" thickBot="1" x14ac:dyDescent="0.3"/>
    <row r="2" spans="2:9" ht="16.5" thickBot="1" x14ac:dyDescent="0.3">
      <c r="B2" s="3" t="s">
        <v>0</v>
      </c>
      <c r="D2" s="43" t="s">
        <v>1</v>
      </c>
      <c r="F2" s="3" t="s">
        <v>2</v>
      </c>
      <c r="G2" s="65" t="s">
        <v>1</v>
      </c>
      <c r="H2" s="66"/>
    </row>
    <row r="3" spans="2:9" ht="16.5" thickBot="1" x14ac:dyDescent="0.3">
      <c r="B3" s="3"/>
      <c r="F3" s="3"/>
    </row>
    <row r="4" spans="2:9" ht="16.5" thickBot="1" x14ac:dyDescent="0.3">
      <c r="B4" s="69" t="s">
        <v>3</v>
      </c>
      <c r="C4" s="70"/>
      <c r="D4" s="70"/>
      <c r="E4" s="70"/>
      <c r="F4" s="70"/>
      <c r="G4" s="70"/>
      <c r="H4" s="70"/>
      <c r="I4" s="71"/>
    </row>
    <row r="5" spans="2:9" ht="32.25" thickBot="1" x14ac:dyDescent="0.3">
      <c r="B5" s="22" t="s">
        <v>4</v>
      </c>
      <c r="C5" s="23"/>
      <c r="D5" s="23" t="s">
        <v>5</v>
      </c>
      <c r="E5" s="23" t="s">
        <v>6</v>
      </c>
      <c r="F5" s="23" t="s">
        <v>7</v>
      </c>
      <c r="G5" s="23" t="s">
        <v>6</v>
      </c>
      <c r="H5" s="23" t="s">
        <v>8</v>
      </c>
      <c r="I5" s="24" t="s">
        <v>9</v>
      </c>
    </row>
    <row r="6" spans="2:9" ht="31.5" x14ac:dyDescent="0.25">
      <c r="B6" s="20" t="s">
        <v>10</v>
      </c>
      <c r="C6" s="5">
        <v>10</v>
      </c>
      <c r="D6" s="44" t="s">
        <v>35</v>
      </c>
      <c r="E6" s="45"/>
      <c r="F6" s="46" t="s">
        <v>35</v>
      </c>
      <c r="G6" s="45"/>
      <c r="H6" s="21">
        <f>IFERROR(ABS(LEFT(D6,1) - LEFT(F6,1) ), 0)</f>
        <v>0</v>
      </c>
      <c r="I6" s="33" t="str">
        <f>IF(H6&gt;2,"Warning: Diference &gt; 2","")</f>
        <v/>
      </c>
    </row>
    <row r="7" spans="2:9" x14ac:dyDescent="0.25">
      <c r="B7" s="6" t="s">
        <v>12</v>
      </c>
      <c r="C7" s="4">
        <v>10</v>
      </c>
      <c r="D7" s="46" t="s">
        <v>35</v>
      </c>
      <c r="E7" s="47"/>
      <c r="F7" s="46" t="s">
        <v>35</v>
      </c>
      <c r="G7" s="47"/>
      <c r="H7" s="10">
        <f t="shared" ref="H7:H13" si="0">IFERROR(ABS(LEFT(D7,1) - LEFT(F7,1) ), 0)</f>
        <v>0</v>
      </c>
      <c r="I7" s="34" t="str">
        <f t="shared" ref="I7:I13" si="1">IF(H7&gt;2,"Warning: Diference &gt; 2","")</f>
        <v/>
      </c>
    </row>
    <row r="8" spans="2:9" ht="31.5" x14ac:dyDescent="0.25">
      <c r="B8" s="6" t="s">
        <v>13</v>
      </c>
      <c r="C8" s="4">
        <v>10</v>
      </c>
      <c r="D8" s="46" t="s">
        <v>35</v>
      </c>
      <c r="E8" s="47"/>
      <c r="F8" s="46" t="s">
        <v>35</v>
      </c>
      <c r="G8" s="47"/>
      <c r="H8" s="10">
        <f t="shared" si="0"/>
        <v>0</v>
      </c>
      <c r="I8" s="34" t="str">
        <f t="shared" si="1"/>
        <v/>
      </c>
    </row>
    <row r="9" spans="2:9" ht="63" x14ac:dyDescent="0.25">
      <c r="B9" s="6" t="s">
        <v>14</v>
      </c>
      <c r="C9" s="4">
        <v>20</v>
      </c>
      <c r="D9" s="46" t="s">
        <v>35</v>
      </c>
      <c r="E9" s="47"/>
      <c r="F9" s="46" t="s">
        <v>35</v>
      </c>
      <c r="G9" s="47"/>
      <c r="H9" s="10">
        <f t="shared" si="0"/>
        <v>0</v>
      </c>
      <c r="I9" s="34" t="str">
        <f t="shared" si="1"/>
        <v/>
      </c>
    </row>
    <row r="10" spans="2:9" ht="63" x14ac:dyDescent="0.25">
      <c r="B10" s="6" t="s">
        <v>15</v>
      </c>
      <c r="C10" s="4">
        <v>10</v>
      </c>
      <c r="D10" s="46" t="s">
        <v>35</v>
      </c>
      <c r="E10" s="47"/>
      <c r="F10" s="46" t="s">
        <v>35</v>
      </c>
      <c r="G10" s="47"/>
      <c r="H10" s="10">
        <f t="shared" si="0"/>
        <v>0</v>
      </c>
      <c r="I10" s="34" t="str">
        <f t="shared" si="1"/>
        <v/>
      </c>
    </row>
    <row r="11" spans="2:9" x14ac:dyDescent="0.25">
      <c r="B11" s="6" t="s">
        <v>36</v>
      </c>
      <c r="C11" s="4">
        <v>20</v>
      </c>
      <c r="D11" s="46" t="s">
        <v>35</v>
      </c>
      <c r="E11" s="47"/>
      <c r="F11" s="46" t="s">
        <v>35</v>
      </c>
      <c r="G11" s="47"/>
      <c r="H11" s="10">
        <f t="shared" si="0"/>
        <v>0</v>
      </c>
      <c r="I11" s="34" t="str">
        <f t="shared" si="1"/>
        <v/>
      </c>
    </row>
    <row r="12" spans="2:9" ht="94.5" x14ac:dyDescent="0.25">
      <c r="B12" s="6" t="s">
        <v>16</v>
      </c>
      <c r="C12" s="4">
        <v>5</v>
      </c>
      <c r="D12" s="46" t="s">
        <v>35</v>
      </c>
      <c r="E12" s="47"/>
      <c r="F12" s="46" t="s">
        <v>35</v>
      </c>
      <c r="G12" s="47"/>
      <c r="H12" s="10">
        <f t="shared" si="0"/>
        <v>0</v>
      </c>
      <c r="I12" s="34" t="str">
        <f t="shared" si="1"/>
        <v/>
      </c>
    </row>
    <row r="13" spans="2:9" ht="16.5" thickBot="1" x14ac:dyDescent="0.3">
      <c r="B13" s="7" t="s">
        <v>17</v>
      </c>
      <c r="C13" s="8">
        <v>15</v>
      </c>
      <c r="D13" s="46" t="s">
        <v>35</v>
      </c>
      <c r="E13" s="48"/>
      <c r="F13" s="46" t="s">
        <v>35</v>
      </c>
      <c r="G13" s="48"/>
      <c r="H13" s="11">
        <f t="shared" si="0"/>
        <v>0</v>
      </c>
      <c r="I13" s="35" t="str">
        <f t="shared" si="1"/>
        <v/>
      </c>
    </row>
    <row r="14" spans="2:9" ht="16.5" thickBot="1" x14ac:dyDescent="0.3">
      <c r="B14" s="9" t="s">
        <v>18</v>
      </c>
      <c r="C14" s="39">
        <f>SUM(C6:C13)</f>
        <v>100</v>
      </c>
      <c r="D14" s="67">
        <f>IFERROR((LEFT(D6,1) * $C6 + LEFT(D7,1)  * $C7 + LEFT(D8,1) * $C8 + LEFT(D9,1) * $C9 + LEFT(D10,1)  * $C10 + LEFT(D11,1) * $C11 + LEFT(D12,1)  * $C12 + LEFT(D13,1) * $C13 )/ ($C6 + $C7 +$C8+$C9+$C10+$C11+$C12+$C13)*4,0)</f>
        <v>20</v>
      </c>
      <c r="E14" s="68"/>
      <c r="F14" s="67">
        <f>IFERROR((LEFT(F6,1) * $C6 + LEFT(F7,1)  * $C7 + LEFT(F8,1) * $C8 + LEFT(F9,1) * $C9 + LEFT(F10,1)  * $C10 + LEFT(F11,1)  * $C11 + LEFT(F12,1)  * $C12 + LEFT(F13,1) * $C13 )/ ($C6 + $C7 +$C8+$C9+$C10+$C11+$C12+$C13)*4,0)</f>
        <v>20</v>
      </c>
      <c r="G14" s="68"/>
      <c r="H14" s="12">
        <f>ABS(D14-F14)</f>
        <v>0</v>
      </c>
      <c r="I14" s="36" t="str">
        <f>IF(H14&gt;3,"Error: Diference &gt; 3","")</f>
        <v/>
      </c>
    </row>
    <row r="15" spans="2:9" ht="16.5" thickBot="1" x14ac:dyDescent="0.3">
      <c r="B15" s="9" t="s">
        <v>19</v>
      </c>
      <c r="C15" s="13"/>
      <c r="D15" s="72">
        <f>(D14+F14)/2</f>
        <v>20</v>
      </c>
      <c r="E15" s="73"/>
      <c r="F15" s="73"/>
      <c r="G15" s="74"/>
    </row>
    <row r="16" spans="2:9" x14ac:dyDescent="0.25">
      <c r="B16" s="1"/>
      <c r="C16" s="1"/>
    </row>
    <row r="17" spans="2:9" ht="16.5" thickBot="1" x14ac:dyDescent="0.3">
      <c r="B17" s="1"/>
      <c r="C17" s="1"/>
    </row>
    <row r="18" spans="2:9" ht="16.5" thickBot="1" x14ac:dyDescent="0.3">
      <c r="B18" s="77" t="s">
        <v>20</v>
      </c>
      <c r="C18" s="78"/>
      <c r="D18" s="78"/>
      <c r="E18" s="78"/>
      <c r="F18" s="78"/>
      <c r="G18" s="78"/>
      <c r="H18" s="78"/>
      <c r="I18" s="79"/>
    </row>
    <row r="19" spans="2:9" ht="32.25" thickBot="1" x14ac:dyDescent="0.3">
      <c r="B19" s="14" t="s">
        <v>4</v>
      </c>
      <c r="C19" s="15"/>
      <c r="D19" s="15" t="s">
        <v>21</v>
      </c>
      <c r="E19" s="15" t="s">
        <v>6</v>
      </c>
      <c r="F19" s="15" t="s">
        <v>22</v>
      </c>
      <c r="G19" s="15" t="s">
        <v>6</v>
      </c>
      <c r="H19" s="15" t="s">
        <v>8</v>
      </c>
      <c r="I19" s="16" t="s">
        <v>9</v>
      </c>
    </row>
    <row r="20" spans="2:9" x14ac:dyDescent="0.25">
      <c r="B20" s="26" t="s">
        <v>23</v>
      </c>
      <c r="C20" s="18">
        <v>20</v>
      </c>
      <c r="D20" s="46" t="s">
        <v>35</v>
      </c>
      <c r="E20" s="45"/>
      <c r="F20" s="46" t="s">
        <v>35</v>
      </c>
      <c r="G20" s="45"/>
      <c r="H20" s="31">
        <f>IFERROR(ABS(LEFT(D20,1) - LEFT(F20,1) ), 0)</f>
        <v>0</v>
      </c>
      <c r="I20" s="33" t="str">
        <f>IF(H20&gt;2,"Warning: Diference &gt; 2","")</f>
        <v/>
      </c>
    </row>
    <row r="21" spans="2:9" x14ac:dyDescent="0.25">
      <c r="B21" s="27" t="s">
        <v>24</v>
      </c>
      <c r="C21" s="17">
        <v>20</v>
      </c>
      <c r="D21" s="46" t="s">
        <v>35</v>
      </c>
      <c r="E21" s="47"/>
      <c r="F21" s="46" t="s">
        <v>35</v>
      </c>
      <c r="G21" s="47"/>
      <c r="H21" s="29">
        <f t="shared" ref="H21:H24" si="2">IFERROR(ABS(LEFT(D21,1) - LEFT(F21,1) ), 0)</f>
        <v>0</v>
      </c>
      <c r="I21" s="33" t="str">
        <f t="shared" ref="I21:I24" si="3">IF(H21&gt;2,"Warning: Diference &gt; 2","")</f>
        <v/>
      </c>
    </row>
    <row r="22" spans="2:9" x14ac:dyDescent="0.25">
      <c r="B22" s="27" t="s">
        <v>25</v>
      </c>
      <c r="C22" s="17">
        <v>25</v>
      </c>
      <c r="D22" s="46" t="s">
        <v>35</v>
      </c>
      <c r="E22" s="47"/>
      <c r="F22" s="46" t="s">
        <v>35</v>
      </c>
      <c r="G22" s="47"/>
      <c r="H22" s="29">
        <f t="shared" si="2"/>
        <v>0</v>
      </c>
      <c r="I22" s="33" t="str">
        <f t="shared" si="3"/>
        <v/>
      </c>
    </row>
    <row r="23" spans="2:9" x14ac:dyDescent="0.25">
      <c r="B23" s="27" t="s">
        <v>26</v>
      </c>
      <c r="C23" s="17">
        <v>10</v>
      </c>
      <c r="D23" s="46" t="s">
        <v>35</v>
      </c>
      <c r="E23" s="47"/>
      <c r="F23" s="46" t="s">
        <v>35</v>
      </c>
      <c r="G23" s="47"/>
      <c r="H23" s="29">
        <f t="shared" si="2"/>
        <v>0</v>
      </c>
      <c r="I23" s="33" t="str">
        <f t="shared" si="3"/>
        <v/>
      </c>
    </row>
    <row r="24" spans="2:9" ht="16.5" thickBot="1" x14ac:dyDescent="0.3">
      <c r="B24" s="28" t="s">
        <v>27</v>
      </c>
      <c r="C24" s="19">
        <v>25</v>
      </c>
      <c r="D24" s="46" t="s">
        <v>35</v>
      </c>
      <c r="E24" s="48"/>
      <c r="F24" s="46" t="s">
        <v>35</v>
      </c>
      <c r="G24" s="48"/>
      <c r="H24" s="30">
        <f t="shared" si="2"/>
        <v>0</v>
      </c>
      <c r="I24" s="37" t="str">
        <f t="shared" si="3"/>
        <v/>
      </c>
    </row>
    <row r="25" spans="2:9" ht="16.5" thickBot="1" x14ac:dyDescent="0.3">
      <c r="B25" s="9" t="s">
        <v>28</v>
      </c>
      <c r="C25" s="25">
        <f>SUM(C20:C24)</f>
        <v>100</v>
      </c>
      <c r="D25" s="80">
        <f>IFERROR((LEFT(D20,1) * $C20 + LEFT(D21,1)  * $C21 + LEFT(D22,1)  * $C22 + LEFT(D23,1)  * $C23 + LEFT(D24,1) * $C24 )/ ($C20+$C21+$C22+$C23+$C24)* 4,0)</f>
        <v>20</v>
      </c>
      <c r="E25" s="80"/>
      <c r="F25" s="80">
        <f>IFERROR((LEFT(F20,1) * $C20 + LEFT(F21,1)  * $C21 + LEFT(F22,1)  * $C22 + LEFT(F23,1)  * $C23 + LEFT(F24,1) * $C24 )/ ($C20+$C21+$C22+$C23+$C24)*4,0)</f>
        <v>20</v>
      </c>
      <c r="G25" s="80"/>
      <c r="H25" s="32">
        <f>ABS(D25-F25)</f>
        <v>0</v>
      </c>
      <c r="I25" s="38" t="str">
        <f>IF(H25&gt;4.8,"Error: Diference &gt; 4,8","")</f>
        <v/>
      </c>
    </row>
    <row r="26" spans="2:9" ht="16.5" thickBot="1" x14ac:dyDescent="0.3">
      <c r="B26" s="41" t="s">
        <v>29</v>
      </c>
      <c r="C26" s="42"/>
      <c r="D26" s="72">
        <f>(D25+F25)/2</f>
        <v>20</v>
      </c>
      <c r="E26" s="73"/>
      <c r="F26" s="73"/>
      <c r="G26" s="74"/>
    </row>
    <row r="28" spans="2:9" ht="16.5" thickBot="1" x14ac:dyDescent="0.3">
      <c r="G28" s="2"/>
    </row>
    <row r="29" spans="2:9" ht="16.5" thickBot="1" x14ac:dyDescent="0.3">
      <c r="D29" s="75" t="s">
        <v>30</v>
      </c>
      <c r="E29" s="76"/>
      <c r="F29" s="40">
        <f>ROUND(0.75*D15+0.25*D26,2)</f>
        <v>20</v>
      </c>
    </row>
  </sheetData>
  <sheetProtection algorithmName="SHA-512" hashValue="gQys4HObG76p7duDwn88t7X5fFSajgGXxcUb3BZG0kZFWRZGtUnohNK0HwXQ8T7phW2xtWw0i8y1rM7RkUlJbQ==" saltValue="mq8MtECknn/N37O0I6busA==" spinCount="100000" sheet="1" selectLockedCells="1"/>
  <mergeCells count="10">
    <mergeCell ref="D29:E29"/>
    <mergeCell ref="B18:I18"/>
    <mergeCell ref="D25:E25"/>
    <mergeCell ref="F25:G25"/>
    <mergeCell ref="D26:G26"/>
    <mergeCell ref="G2:H2"/>
    <mergeCell ref="D14:E14"/>
    <mergeCell ref="F14:G14"/>
    <mergeCell ref="B4:I4"/>
    <mergeCell ref="D15:G15"/>
  </mergeCells>
  <conditionalFormatting sqref="D15">
    <cfRule type="expression" dxfId="7" priority="6">
      <formula>$H$14 &gt; 3</formula>
    </cfRule>
  </conditionalFormatting>
  <conditionalFormatting sqref="D26:G26">
    <cfRule type="expression" dxfId="6" priority="2">
      <formula>$H$25&gt;4.8</formula>
    </cfRule>
  </conditionalFormatting>
  <conditionalFormatting sqref="F29">
    <cfRule type="expression" dxfId="5" priority="1">
      <formula>$H$25&gt;4.8</formula>
    </cfRule>
    <cfRule type="expression" dxfId="4" priority="4">
      <formula>$H$14&gt;3</formula>
    </cfRule>
  </conditionalFormatting>
  <conditionalFormatting sqref="H6:H13">
    <cfRule type="cellIs" dxfId="3" priority="9" operator="greaterThan">
      <formula>2</formula>
    </cfRule>
  </conditionalFormatting>
  <conditionalFormatting sqref="H14">
    <cfRule type="cellIs" dxfId="2" priority="7" operator="greaterThan">
      <formula>3</formula>
    </cfRule>
  </conditionalFormatting>
  <conditionalFormatting sqref="H20:H24">
    <cfRule type="cellIs" dxfId="1" priority="5" operator="greaterThan">
      <formula>2</formula>
    </cfRule>
  </conditionalFormatting>
  <conditionalFormatting sqref="H25">
    <cfRule type="cellIs" dxfId="0" priority="3" operator="greaterThan">
      <formula>4.8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CAF5769-7E6A-1847-BDB7-1C8A05348AB6}">
          <x14:formula1>
            <xm:f>Data!$A$4:$A$9</xm:f>
          </x14:formula1>
          <xm:sqref>D6:D13 D20:D24 F6:F13 F20:F24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11C2-19DB-4B01-A194-C6429329BC21}">
  <dimension ref="A1:B53"/>
  <sheetViews>
    <sheetView showGridLines="0" zoomScale="120" zoomScaleNormal="120" workbookViewId="0">
      <selection sqref="A1:B1"/>
    </sheetView>
  </sheetViews>
  <sheetFormatPr defaultRowHeight="15" x14ac:dyDescent="0.25"/>
  <cols>
    <col min="1" max="1" width="56.625" style="49" customWidth="1"/>
    <col min="2" max="2" width="75.375" style="49" customWidth="1"/>
    <col min="3" max="16384" width="9" style="49"/>
  </cols>
  <sheetData>
    <row r="1" spans="1:2" ht="16.5" thickBot="1" x14ac:dyDescent="0.3">
      <c r="A1" s="86" t="s">
        <v>37</v>
      </c>
      <c r="B1" s="87"/>
    </row>
    <row r="2" spans="1:2" ht="15.75" thickBot="1" x14ac:dyDescent="0.3">
      <c r="A2" s="57" t="s">
        <v>4</v>
      </c>
      <c r="B2" s="56" t="s">
        <v>38</v>
      </c>
    </row>
    <row r="3" spans="1:2" x14ac:dyDescent="0.25">
      <c r="A3" s="81" t="s">
        <v>39</v>
      </c>
      <c r="B3" s="51"/>
    </row>
    <row r="4" spans="1:2" x14ac:dyDescent="0.25">
      <c r="A4" s="82"/>
      <c r="B4" s="51" t="s">
        <v>40</v>
      </c>
    </row>
    <row r="5" spans="1:2" ht="24" x14ac:dyDescent="0.25">
      <c r="A5" s="82"/>
      <c r="B5" s="51" t="s">
        <v>92</v>
      </c>
    </row>
    <row r="6" spans="1:2" ht="24.75" thickBot="1" x14ac:dyDescent="0.3">
      <c r="A6" s="83"/>
      <c r="B6" s="50" t="s">
        <v>41</v>
      </c>
    </row>
    <row r="7" spans="1:2" x14ac:dyDescent="0.25">
      <c r="A7" s="81" t="s">
        <v>12</v>
      </c>
      <c r="B7" s="51"/>
    </row>
    <row r="8" spans="1:2" x14ac:dyDescent="0.25">
      <c r="A8" s="82"/>
      <c r="B8" s="51" t="s">
        <v>42</v>
      </c>
    </row>
    <row r="9" spans="1:2" x14ac:dyDescent="0.25">
      <c r="A9" s="82"/>
      <c r="B9" s="51" t="s">
        <v>43</v>
      </c>
    </row>
    <row r="10" spans="1:2" x14ac:dyDescent="0.25">
      <c r="A10" s="82"/>
      <c r="B10" s="51" t="s">
        <v>44</v>
      </c>
    </row>
    <row r="11" spans="1:2" ht="24" x14ac:dyDescent="0.25">
      <c r="A11" s="82"/>
      <c r="B11" s="51" t="s">
        <v>45</v>
      </c>
    </row>
    <row r="12" spans="1:2" x14ac:dyDescent="0.25">
      <c r="A12" s="82"/>
      <c r="B12" s="51" t="s">
        <v>46</v>
      </c>
    </row>
    <row r="13" spans="1:2" ht="24" x14ac:dyDescent="0.25">
      <c r="A13" s="82"/>
      <c r="B13" s="51" t="s">
        <v>47</v>
      </c>
    </row>
    <row r="14" spans="1:2" ht="24" x14ac:dyDescent="0.25">
      <c r="A14" s="82"/>
      <c r="B14" s="51" t="s">
        <v>48</v>
      </c>
    </row>
    <row r="15" spans="1:2" ht="15.75" thickBot="1" x14ac:dyDescent="0.3">
      <c r="A15" s="83"/>
      <c r="B15" s="50" t="s">
        <v>49</v>
      </c>
    </row>
    <row r="16" spans="1:2" x14ac:dyDescent="0.25">
      <c r="A16" s="81" t="s">
        <v>50</v>
      </c>
      <c r="B16" s="51"/>
    </row>
    <row r="17" spans="1:2" x14ac:dyDescent="0.25">
      <c r="A17" s="82"/>
      <c r="B17" s="51" t="s">
        <v>51</v>
      </c>
    </row>
    <row r="18" spans="1:2" x14ac:dyDescent="0.25">
      <c r="A18" s="82"/>
      <c r="B18" s="51" t="s">
        <v>52</v>
      </c>
    </row>
    <row r="19" spans="1:2" x14ac:dyDescent="0.25">
      <c r="A19" s="82"/>
      <c r="B19" s="51" t="s">
        <v>53</v>
      </c>
    </row>
    <row r="20" spans="1:2" ht="24" x14ac:dyDescent="0.25">
      <c r="A20" s="82"/>
      <c r="B20" s="51" t="s">
        <v>54</v>
      </c>
    </row>
    <row r="21" spans="1:2" ht="24" x14ac:dyDescent="0.25">
      <c r="A21" s="82"/>
      <c r="B21" s="51" t="s">
        <v>55</v>
      </c>
    </row>
    <row r="22" spans="1:2" x14ac:dyDescent="0.25">
      <c r="A22" s="82"/>
      <c r="B22" s="51" t="s">
        <v>56</v>
      </c>
    </row>
    <row r="23" spans="1:2" ht="24.75" thickBot="1" x14ac:dyDescent="0.3">
      <c r="A23" s="83"/>
      <c r="B23" s="50" t="s">
        <v>57</v>
      </c>
    </row>
    <row r="24" spans="1:2" x14ac:dyDescent="0.25">
      <c r="A24" s="52"/>
      <c r="B24" s="51"/>
    </row>
    <row r="25" spans="1:2" x14ac:dyDescent="0.25">
      <c r="A25" s="52" t="s">
        <v>58</v>
      </c>
      <c r="B25" s="51" t="s">
        <v>59</v>
      </c>
    </row>
    <row r="26" spans="1:2" ht="24" x14ac:dyDescent="0.25">
      <c r="A26" s="55" t="s">
        <v>60</v>
      </c>
      <c r="B26" s="51" t="s">
        <v>61</v>
      </c>
    </row>
    <row r="27" spans="1:2" ht="24.75" thickBot="1" x14ac:dyDescent="0.3">
      <c r="A27" s="55" t="s">
        <v>62</v>
      </c>
      <c r="B27" s="50" t="s">
        <v>63</v>
      </c>
    </row>
    <row r="28" spans="1:2" x14ac:dyDescent="0.25">
      <c r="A28" s="81" t="s">
        <v>15</v>
      </c>
      <c r="B28" s="58"/>
    </row>
    <row r="29" spans="1:2" ht="24" x14ac:dyDescent="0.25">
      <c r="A29" s="82"/>
      <c r="B29" s="51" t="s">
        <v>88</v>
      </c>
    </row>
    <row r="30" spans="1:2" ht="24" x14ac:dyDescent="0.25">
      <c r="A30" s="82"/>
      <c r="B30" s="51" t="s">
        <v>89</v>
      </c>
    </row>
    <row r="31" spans="1:2" ht="24" x14ac:dyDescent="0.25">
      <c r="A31" s="82"/>
      <c r="B31" s="51" t="s">
        <v>90</v>
      </c>
    </row>
    <row r="32" spans="1:2" ht="15.75" thickBot="1" x14ac:dyDescent="0.3">
      <c r="A32" s="83"/>
      <c r="B32" s="50" t="s">
        <v>91</v>
      </c>
    </row>
    <row r="33" spans="1:2" x14ac:dyDescent="0.25">
      <c r="A33" s="84" t="s">
        <v>36</v>
      </c>
      <c r="B33" s="51"/>
    </row>
    <row r="34" spans="1:2" x14ac:dyDescent="0.25">
      <c r="A34" s="84"/>
      <c r="B34" s="51" t="s">
        <v>64</v>
      </c>
    </row>
    <row r="35" spans="1:2" x14ac:dyDescent="0.25">
      <c r="A35" s="84"/>
      <c r="B35" s="51" t="s">
        <v>65</v>
      </c>
    </row>
    <row r="36" spans="1:2" ht="24" x14ac:dyDescent="0.25">
      <c r="A36" s="84"/>
      <c r="B36" s="51" t="s">
        <v>66</v>
      </c>
    </row>
    <row r="37" spans="1:2" ht="24" x14ac:dyDescent="0.25">
      <c r="A37" s="84"/>
      <c r="B37" s="51" t="s">
        <v>67</v>
      </c>
    </row>
    <row r="38" spans="1:2" ht="24" x14ac:dyDescent="0.25">
      <c r="A38" s="84"/>
      <c r="B38" s="51" t="s">
        <v>68</v>
      </c>
    </row>
    <row r="39" spans="1:2" x14ac:dyDescent="0.25">
      <c r="A39" s="84"/>
      <c r="B39" s="51" t="s">
        <v>69</v>
      </c>
    </row>
    <row r="40" spans="1:2" x14ac:dyDescent="0.25">
      <c r="A40" s="84"/>
      <c r="B40" s="51" t="s">
        <v>70</v>
      </c>
    </row>
    <row r="41" spans="1:2" ht="15.75" thickBot="1" x14ac:dyDescent="0.3">
      <c r="A41" s="85"/>
      <c r="B41" s="50" t="s">
        <v>71</v>
      </c>
    </row>
    <row r="42" spans="1:2" x14ac:dyDescent="0.25">
      <c r="A42" s="52" t="s">
        <v>72</v>
      </c>
      <c r="B42" s="51"/>
    </row>
    <row r="43" spans="1:2" x14ac:dyDescent="0.25">
      <c r="A43" s="55" t="s">
        <v>73</v>
      </c>
      <c r="B43" s="51" t="s">
        <v>74</v>
      </c>
    </row>
    <row r="44" spans="1:2" x14ac:dyDescent="0.25">
      <c r="A44" s="55" t="s">
        <v>75</v>
      </c>
      <c r="B44" s="51" t="s">
        <v>76</v>
      </c>
    </row>
    <row r="45" spans="1:2" ht="24" x14ac:dyDescent="0.25">
      <c r="A45" s="55" t="s">
        <v>77</v>
      </c>
      <c r="B45" s="51" t="s">
        <v>78</v>
      </c>
    </row>
    <row r="46" spans="1:2" x14ac:dyDescent="0.25">
      <c r="A46" s="55" t="s">
        <v>79</v>
      </c>
      <c r="B46" s="51" t="s">
        <v>80</v>
      </c>
    </row>
    <row r="47" spans="1:2" ht="15.75" thickBot="1" x14ac:dyDescent="0.3">
      <c r="A47" s="54" t="s">
        <v>81</v>
      </c>
      <c r="B47" s="53"/>
    </row>
    <row r="48" spans="1:2" x14ac:dyDescent="0.25">
      <c r="A48" s="81" t="s">
        <v>82</v>
      </c>
      <c r="B48" s="51"/>
    </row>
    <row r="49" spans="1:2" x14ac:dyDescent="0.25">
      <c r="A49" s="82"/>
      <c r="B49" s="51" t="s">
        <v>83</v>
      </c>
    </row>
    <row r="50" spans="1:2" x14ac:dyDescent="0.25">
      <c r="A50" s="82"/>
      <c r="B50" s="51" t="s">
        <v>84</v>
      </c>
    </row>
    <row r="51" spans="1:2" x14ac:dyDescent="0.25">
      <c r="A51" s="82"/>
      <c r="B51" s="51" t="s">
        <v>85</v>
      </c>
    </row>
    <row r="52" spans="1:2" x14ac:dyDescent="0.25">
      <c r="A52" s="82"/>
      <c r="B52" s="51" t="s">
        <v>86</v>
      </c>
    </row>
    <row r="53" spans="1:2" ht="24.75" thickBot="1" x14ac:dyDescent="0.3">
      <c r="A53" s="83"/>
      <c r="B53" s="50" t="s">
        <v>87</v>
      </c>
    </row>
  </sheetData>
  <sheetProtection algorithmName="SHA-512" hashValue="DP1OBplIVMOf0XMuOJrvbLB/hEW+dWoe8j/8g5M+kYCPpfLi3gvrxANd/nXuLJGjXWLE98Qjz4P4RUVkOJnhsg==" saltValue="zhJiNDoYfQXRXua+6grUaA==" spinCount="100000" sheet="1" objects="1" scenarios="1"/>
  <mergeCells count="7">
    <mergeCell ref="A48:A53"/>
    <mergeCell ref="A28:A32"/>
    <mergeCell ref="A33:A41"/>
    <mergeCell ref="A1:B1"/>
    <mergeCell ref="A3:A6"/>
    <mergeCell ref="A7:A15"/>
    <mergeCell ref="A16:A23"/>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B7E3-1D8A-F246-AD02-742E8441F497}">
  <dimension ref="A1:B15"/>
  <sheetViews>
    <sheetView showGridLines="0" zoomScale="120" zoomScaleNormal="120" workbookViewId="0">
      <selection activeCell="A17" sqref="A17"/>
    </sheetView>
  </sheetViews>
  <sheetFormatPr defaultColWidth="11" defaultRowHeight="15.75" x14ac:dyDescent="0.25"/>
  <cols>
    <col min="1" max="1" width="39" bestFit="1" customWidth="1"/>
    <col min="2" max="2" width="87" customWidth="1"/>
  </cols>
  <sheetData>
    <row r="1" spans="1:2" ht="31.5" customHeight="1" thickBot="1" x14ac:dyDescent="0.3">
      <c r="A1" s="90" t="s">
        <v>93</v>
      </c>
      <c r="B1" s="91"/>
    </row>
    <row r="2" spans="1:2" ht="16.5" thickBot="1" x14ac:dyDescent="0.3">
      <c r="A2" s="59" t="s">
        <v>4</v>
      </c>
      <c r="B2" s="60" t="s">
        <v>38</v>
      </c>
    </row>
    <row r="3" spans="1:2" x14ac:dyDescent="0.25">
      <c r="A3" s="88" t="s">
        <v>23</v>
      </c>
      <c r="B3" s="61"/>
    </row>
    <row r="4" spans="1:2" x14ac:dyDescent="0.25">
      <c r="A4" s="92"/>
      <c r="B4" s="61" t="s">
        <v>94</v>
      </c>
    </row>
    <row r="5" spans="1:2" ht="16.5" thickBot="1" x14ac:dyDescent="0.3">
      <c r="A5" s="89"/>
      <c r="B5" s="62" t="s">
        <v>95</v>
      </c>
    </row>
    <row r="6" spans="1:2" x14ac:dyDescent="0.25">
      <c r="A6" s="88" t="s">
        <v>24</v>
      </c>
      <c r="B6" s="61"/>
    </row>
    <row r="7" spans="1:2" x14ac:dyDescent="0.25">
      <c r="A7" s="92"/>
      <c r="B7" s="61" t="s">
        <v>96</v>
      </c>
    </row>
    <row r="8" spans="1:2" ht="16.5" thickBot="1" x14ac:dyDescent="0.3">
      <c r="A8" s="89"/>
      <c r="B8" s="62" t="s">
        <v>97</v>
      </c>
    </row>
    <row r="9" spans="1:2" x14ac:dyDescent="0.25">
      <c r="A9" s="88" t="s">
        <v>25</v>
      </c>
      <c r="B9" s="61"/>
    </row>
    <row r="10" spans="1:2" x14ac:dyDescent="0.25">
      <c r="A10" s="92"/>
      <c r="B10" s="61" t="s">
        <v>98</v>
      </c>
    </row>
    <row r="11" spans="1:2" ht="16.5" thickBot="1" x14ac:dyDescent="0.3">
      <c r="A11" s="89"/>
      <c r="B11" s="62" t="s">
        <v>99</v>
      </c>
    </row>
    <row r="12" spans="1:2" x14ac:dyDescent="0.25">
      <c r="A12" s="88" t="s">
        <v>100</v>
      </c>
      <c r="B12" s="63"/>
    </row>
    <row r="13" spans="1:2" ht="16.5" thickBot="1" x14ac:dyDescent="0.3">
      <c r="A13" s="89"/>
      <c r="B13" s="64" t="s">
        <v>101</v>
      </c>
    </row>
    <row r="14" spans="1:2" x14ac:dyDescent="0.25">
      <c r="A14" s="88" t="s">
        <v>27</v>
      </c>
      <c r="B14" s="61"/>
    </row>
    <row r="15" spans="1:2" ht="16.5" thickBot="1" x14ac:dyDescent="0.3">
      <c r="A15" s="89"/>
      <c r="B15" s="62" t="s">
        <v>102</v>
      </c>
    </row>
  </sheetData>
  <sheetProtection algorithmName="SHA-512" hashValue="ETEyRnSJf+hZB1FfymUKPg7FLpdtDN3h1AYcjY4OR5Yy9xVXZ/XLzDaJkW2VSHurJLdoOTeiWMb4vraRz911HA==" saltValue="0YrJlFRN5bfzp6x7sH6z4g==" spinCount="100000" sheet="1" selectLockedCells="1" selectUnlockedCells="1"/>
  <mergeCells count="6">
    <mergeCell ref="A14:A15"/>
    <mergeCell ref="A1:B1"/>
    <mergeCell ref="A3:A5"/>
    <mergeCell ref="A6:A8"/>
    <mergeCell ref="A9:A11"/>
    <mergeCell ref="A12:A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A3939-75F9-6445-8C93-979308640DE3}">
  <dimension ref="A4:J11"/>
  <sheetViews>
    <sheetView workbookViewId="0">
      <selection activeCell="B7" sqref="B7"/>
    </sheetView>
  </sheetViews>
  <sheetFormatPr defaultColWidth="11" defaultRowHeight="15.75" x14ac:dyDescent="0.25"/>
  <sheetData>
    <row r="4" spans="1:10" x14ac:dyDescent="0.25">
      <c r="A4" t="s">
        <v>11</v>
      </c>
      <c r="B4">
        <v>0</v>
      </c>
      <c r="C4">
        <v>0</v>
      </c>
    </row>
    <row r="5" spans="1:10" x14ac:dyDescent="0.25">
      <c r="A5" t="s">
        <v>31</v>
      </c>
      <c r="B5">
        <v>1</v>
      </c>
      <c r="C5">
        <v>4</v>
      </c>
    </row>
    <row r="6" spans="1:10" x14ac:dyDescent="0.25">
      <c r="A6" t="s">
        <v>32</v>
      </c>
      <c r="B6">
        <v>2</v>
      </c>
      <c r="C6">
        <v>8</v>
      </c>
    </row>
    <row r="7" spans="1:10" x14ac:dyDescent="0.25">
      <c r="A7" t="s">
        <v>33</v>
      </c>
      <c r="B7">
        <v>3</v>
      </c>
      <c r="C7">
        <v>12</v>
      </c>
    </row>
    <row r="8" spans="1:10" x14ac:dyDescent="0.25">
      <c r="A8" t="s">
        <v>34</v>
      </c>
      <c r="B8">
        <v>4</v>
      </c>
      <c r="C8">
        <v>16</v>
      </c>
    </row>
    <row r="9" spans="1:10" x14ac:dyDescent="0.25">
      <c r="A9" t="s">
        <v>35</v>
      </c>
      <c r="B9">
        <v>5</v>
      </c>
      <c r="C9">
        <v>20</v>
      </c>
    </row>
    <row r="10" spans="1:10" x14ac:dyDescent="0.25">
      <c r="I10">
        <v>5</v>
      </c>
      <c r="J10">
        <v>20</v>
      </c>
    </row>
    <row r="11" spans="1:10" x14ac:dyDescent="0.25">
      <c r="I11">
        <v>5</v>
      </c>
      <c r="J11">
        <f>I11*J10/I10</f>
        <v>20</v>
      </c>
    </row>
  </sheetData>
  <sheetProtection algorithmName="SHA-512" hashValue="AcnN5LVqdjwhXSsaHQT7ygK71Xrhr1WKnWEKPJW/NTBnWrMymYTOhktITHqHzFbq1NJVNd37AXLt2BrMXPrrEQ==" saltValue="ZRf8VQILh0TwxF3rPF5ks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FC54607094704886AD3136FEE0BCCB" ma:contentTypeVersion="18" ma:contentTypeDescription="Create a new document." ma:contentTypeScope="" ma:versionID="ec9beca316487f34a34dc015827773c4">
  <xsd:schema xmlns:xsd="http://www.w3.org/2001/XMLSchema" xmlns:xs="http://www.w3.org/2001/XMLSchema" xmlns:p="http://schemas.microsoft.com/office/2006/metadata/properties" xmlns:ns3="aa71f6c6-ae0e-46ce-bb0a-c502dd7d3416" xmlns:ns4="9ba1e145-8af7-42f0-8de9-8a1a8f874c26" targetNamespace="http://schemas.microsoft.com/office/2006/metadata/properties" ma:root="true" ma:fieldsID="1b417c53f4306444dcd7b39902e130e6" ns3:_="" ns4:_="">
    <xsd:import namespace="aa71f6c6-ae0e-46ce-bb0a-c502dd7d3416"/>
    <xsd:import namespace="9ba1e145-8af7-42f0-8de9-8a1a8f874c2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71f6c6-ae0e-46ce-bb0a-c502dd7d3416"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1e145-8af7-42f0-8de9-8a1a8f874c26"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ba1e145-8af7-42f0-8de9-8a1a8f874c2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F94EDB-1CFD-40F8-8D9F-C50891E5A9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71f6c6-ae0e-46ce-bb0a-c502dd7d3416"/>
    <ds:schemaRef ds:uri="9ba1e145-8af7-42f0-8de9-8a1a8f874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4A17EA-3B38-4668-973B-56AC62389677}">
  <ds:schemaRefs>
    <ds:schemaRef ds:uri="http://schemas.microsoft.com/office/2006/metadata/properties"/>
    <ds:schemaRef ds:uri="9ba1e145-8af7-42f0-8de9-8a1a8f874c26"/>
    <ds:schemaRef ds:uri="aa71f6c6-ae0e-46ce-bb0a-c502dd7d3416"/>
    <ds:schemaRef ds:uri="http://purl.org/dc/dcmitype/"/>
    <ds:schemaRef ds:uri="http://purl.org/dc/term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232AC7DC-8C13-454B-86AD-2A115DF3193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Evaluation</vt:lpstr>
      <vt:lpstr>Notes (doc evaluation)</vt:lpstr>
      <vt:lpstr>Notes (presentation evaluation)</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 Azevedo</dc:creator>
  <cp:keywords/>
  <dc:description/>
  <cp:lastModifiedBy>Paulo Oliveira</cp:lastModifiedBy>
  <cp:revision/>
  <dcterms:created xsi:type="dcterms:W3CDTF">2023-10-29T12:45:12Z</dcterms:created>
  <dcterms:modified xsi:type="dcterms:W3CDTF">2024-11-28T23:38:43Z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0x010100A0FC54607094704886AD3136FEE0BCCB</vt:lpwstr>
  </property>
</Properties>
</file>